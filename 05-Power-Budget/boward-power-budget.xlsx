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showInkAnnotation="0" autoCompressPictures="0"/>
  <xr:revisionPtr revIDLastSave="43" documentId="11_F07BB6F8E57A53175299B87C70BCC7CE20399620" xr6:coauthVersionLast="47" xr6:coauthVersionMax="47" xr10:uidLastSave="{4B46A1C0-0AB2-4C04-9447-68243D42BEF7}"/>
  <bookViews>
    <workbookView xWindow="0" yWindow="0" windowWidth="0" windowHeight="0" xr2:uid="{00000000-000D-0000-FFFF-FFFF00000000}"/>
  </bookViews>
  <sheets>
    <sheet name="Power Budget"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8" i="1" l="1"/>
  <c r="F67" i="1"/>
  <c r="G67" i="1" s="1"/>
  <c r="G64" i="1"/>
  <c r="G57" i="1"/>
  <c r="G52" i="1"/>
  <c r="G51" i="1"/>
  <c r="E50" i="1"/>
  <c r="D50" i="1"/>
  <c r="C50" i="1"/>
  <c r="B50" i="1"/>
  <c r="F49" i="1"/>
  <c r="E49" i="1"/>
  <c r="G49" i="1" s="1"/>
  <c r="D49" i="1"/>
  <c r="C49" i="1"/>
  <c r="B49" i="1"/>
  <c r="G35" i="1"/>
  <c r="G30" i="1"/>
  <c r="G29" i="1"/>
  <c r="G28" i="1"/>
  <c r="G27" i="1"/>
  <c r="F10" i="1"/>
  <c r="G9" i="1"/>
  <c r="F50" i="1" l="1"/>
  <c r="G10" i="1"/>
  <c r="G50" i="1"/>
  <c r="G53" i="1" s="1"/>
  <c r="G55" i="1" l="1"/>
  <c r="G58" i="1" s="1"/>
  <c r="F26" i="1"/>
  <c r="G26" i="1" s="1"/>
  <c r="G31" i="1" s="1"/>
  <c r="G33" i="1" s="1"/>
  <c r="F66" i="1" l="1"/>
  <c r="G66" i="1" s="1"/>
  <c r="G69" i="1" s="1"/>
  <c r="G3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<sst xmlns="http://schemas.openxmlformats.org/spreadsheetml/2006/main" count="146" uniqueCount="78">
  <si>
    <t>Power Budget - Zander Boward</t>
  </si>
  <si>
    <t>Team Number:</t>
  </si>
  <si>
    <t>Project Name:</t>
  </si>
  <si>
    <t xml:space="preserve">Weather Gadget </t>
  </si>
  <si>
    <t>Team Member Names:</t>
  </si>
  <si>
    <t>Sidra, Brendan, Branden</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</si>
  <si>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</si>
  <si>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</si>
  <si>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</si>
  <si>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</si>
  <si>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</si>
  <si>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</si>
  <si>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</si>
  <si>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</si>
  <si>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</si>
  <si>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</si>
  <si>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Curiosity Nano target (PROVISIONAL)</t>
  </si>
  <si>
    <t>PIC18F57Q43 Curiosity Nano</t>
  </si>
  <si>
    <t>3.3 V design</t>
  </si>
  <si>
    <t>mA</t>
  </si>
  <si>
    <t>LCD module incl. backlight</t>
  </si>
  <si>
    <t>NHD-0420H1Z-FSW-GBW-33V3</t>
  </si>
  <si>
    <t>3.0-3.6 V logic</t>
  </si>
  <si>
    <t>B. Assign each major component above to ONE power rail below. Try to minimize the number of different power rails in the design. 
Add additional power rails or change the power rail voltages if needed.</t>
  </si>
  <si>
    <t>Unused power rail</t>
  </si>
  <si>
    <t>Not applicable - no devices on this rail</t>
  </si>
  <si>
    <t>c1. Not applicable</t>
  </si>
  <si>
    <t xml:space="preserve"> +5V Power Rail</t>
  </si>
  <si>
    <t>3.3 V downstream load</t>
  </si>
  <si>
    <t>From 3.3 V rail subtotal</t>
  </si>
  <si>
    <t>5 V input path</t>
  </si>
  <si>
    <t>LD1117 ground current allowance</t>
  </si>
  <si>
    <t>LD1117V33</t>
  </si>
  <si>
    <t>5 V</t>
  </si>
  <si>
    <t xml:space="preserve">Subtotal </t>
  </si>
  <si>
    <t>Safety Margin</t>
  </si>
  <si>
    <t>Total Current Required on +5V Rail</t>
  </si>
  <si>
    <t>c2. Regulator or Source Choice</t>
  </si>
  <si>
    <t>5 V regulator</t>
  </si>
  <si>
    <t>L7805CV</t>
  </si>
  <si>
    <t>9 V nominal input</t>
  </si>
  <si>
    <t>Total Remaining Current Available on +5V Rail</t>
  </si>
  <si>
    <t>c3. Not applicable</t>
  </si>
  <si>
    <t xml:space="preserve"> +3.3V Power Rail</t>
  </si>
  <si>
    <t>Total Current Required on +3.3V Rail</t>
  </si>
  <si>
    <t>c4. Regulator or Source Choice</t>
  </si>
  <si>
    <t>3.3 V regulator</t>
  </si>
  <si>
    <t>5 V nominal input</t>
  </si>
  <si>
    <t>Total Remaining Current Available on 3.3V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</si>
  <si>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</si>
  <si>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</si>
  <si>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</si>
  <si>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</si>
  <si>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</si>
  <si>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9 V wall adapter</t>
  </si>
  <si>
    <t>Adafruit 63</t>
  </si>
  <si>
    <t>100-240 VAC</t>
  </si>
  <si>
    <t>9 VDC</t>
  </si>
  <si>
    <t>Power Rails Connected to External Power Source 1</t>
  </si>
  <si>
    <t>5 V stage demand +25%</t>
  </si>
  <si>
    <t>9 V input path</t>
  </si>
  <si>
    <t>L7805 ground current +25%</t>
  </si>
  <si>
    <t>9 V</t>
  </si>
  <si>
    <t>Total Remaining Current Available on External Power Source 1</t>
  </si>
  <si>
    <t>External Power Source 2</t>
  </si>
  <si>
    <t>Power Source 2 Selection</t>
  </si>
  <si>
    <t>Not applicable - only one external source</t>
  </si>
  <si>
    <t>Power Rails Connected to External Power Source 2</t>
  </si>
  <si>
    <t>E. Calculate Battery Life (if applicable).  For each battery, also check the worst-case lifetime of the battery by indicating the capacity in mAh.</t>
  </si>
  <si>
    <t>Capacity
(mAh)</t>
  </si>
  <si>
    <t>Required
By
Regulators</t>
  </si>
  <si>
    <t>Not applicable - wall powered</t>
  </si>
  <si>
    <t>Notes</t>
  </si>
  <si>
    <t>F9 = 50 mA is a PROVISIONAL Nano target-side allowance, including support loading; not a datasheet maximum. Clock/peripherals not finalized.</t>
  </si>
  <si>
    <t>LCD F10 = 2.5 + 15 = 17.5 mA (datasheet p.5, 25 C). Both regulator ground-current inputs use 10 mA planning allowances; not full-temperature bounds.</t>
  </si>
  <si>
    <t>Sources: LCD - https://newhavendisplay.com/content/specs/NHD-0420H1Z-FSW-GBW-33V3.pdf (p.5).</t>
  </si>
  <si>
    <t>Regulators: https://www.st.com/resource/en/datasheet/ld1117.pdf ; https://www.st.com/resource/en/datasheet/l78.pdf . Ratings require adequate cooling.</t>
  </si>
  <si>
    <t>MCU: PIC18F27/47/57Q43 datasheet, Table 47-2: 8.2 mA max at 64 MHz HFINTOSC, 3.0 V; not a bound for this 3.3 V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</si>
</sst>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9">
    <font>
      <sz val="12"/>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sz val="12"/>
      <name val="Arial"/>
    </font>
    <font>
      <b/>
      <sz val="18"/>
      <color rgb="FF000000"/>
      <name val="Arial"/>
    </font>
  </fonts>
  <fills count="6">
    <fill>
      <patternFill patternType="none"/>
    </fill>
    <fill>
      <patternFill patternType="gray125"/>
    </fill>
    <fill>
      <patternFill patternType="solid">
        <fgColor rgb="FFFFFF00"/>
      </patternFill>
    </fill>
    <fill>
      <patternFill patternType="solid">
        <fgColor rgb="FFEEECE1"/>
      </patternFill>
    </fill>
    <fill>
      <patternFill patternType="solid">
        <fgColor rgb="FFFFFFFF"/>
      </patternFill>
    </fill>
    <fill>
      <patternFill patternType="solid">
        <fgColor rgb="FFFFF4CC"/>
      </patternFill>
    </fill>
  </fills>
  <borders count="1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diagonal/>
    </border>
    <border>
      <left/>
      <right/>
      <top style="thin">
        <color rgb="FF000000"/>
      </top>
      <bottom/>
      <diagonal/>
    </border>
  </borders>
  <cellStyleXfs count="1">
    <xf numFmtId="0" fontId="0" fillId="0" borderId="0"/>
  </cellStyleXfs>
  <cellXfs count="96">
    <xf numFmtId="0" fontId="0" fillId="0" borderId="0" xfId="0"/>
    <xf numFmtId="0" fontId="1" fillId="0" borderId="1" xfId="0" applyFont="1" applyBorder="1"/>
    <xf numFmtId="0" fontId="1" fillId="0" borderId="0" xfId="0" applyFont="1" applyAlignment="1">
      <alignment horizontal="center"/>
    </xf>
    <xf numFmtId="0" fontId="1" fillId="0" borderId="0" xfId="0" applyFont="1"/>
    <xf numFmtId="0" fontId="3" fillId="0" borderId="0" xfId="0" applyFont="1"/>
    <xf numFmtId="0" fontId="0" fillId="0" borderId="4" xfId="0" applyBorder="1"/>
    <xf numFmtId="0" fontId="5" fillId="0" borderId="0" xfId="0" applyFont="1" applyAlignment="1">
      <alignment horizontal="center"/>
    </xf>
    <xf numFmtId="0" fontId="0" fillId="0" borderId="0" xfId="0" applyAlignment="1">
      <alignment horizontal="center"/>
    </xf>
    <xf numFmtId="0" fontId="0" fillId="0" borderId="5" xfId="0" applyBorder="1"/>
    <xf numFmtId="0" fontId="5" fillId="0" borderId="5" xfId="0" applyFont="1" applyBorder="1"/>
    <xf numFmtId="0" fontId="5" fillId="0" borderId="0" xfId="0" applyFont="1"/>
    <xf numFmtId="0" fontId="1" fillId="0" borderId="4" xfId="0" applyFont="1" applyBorder="1"/>
    <xf numFmtId="0" fontId="3" fillId="0" borderId="0" xfId="0" applyFont="1" applyAlignment="1">
      <alignment horizontal="center"/>
    </xf>
    <xf numFmtId="0" fontId="1" fillId="0" borderId="5" xfId="0" applyFont="1" applyBorder="1"/>
    <xf numFmtId="9" fontId="0" fillId="0" borderId="5" xfId="0" applyNumberFormat="1" applyBorder="1"/>
    <xf numFmtId="0" fontId="6" fillId="0" borderId="4" xfId="0" applyFont="1" applyBorder="1"/>
    <xf numFmtId="0" fontId="4" fillId="0" borderId="4" xfId="0" applyFont="1" applyBorder="1" applyAlignment="1">
      <alignment horizontal="left"/>
    </xf>
    <xf numFmtId="0" fontId="5" fillId="0" borderId="0" xfId="0" applyFont="1" applyAlignment="1">
      <alignment horizontal="left"/>
    </xf>
    <xf numFmtId="0" fontId="5" fillId="0" borderId="0" xfId="0" applyFont="1" applyAlignment="1">
      <alignment horizontal="right"/>
    </xf>
    <xf numFmtId="0" fontId="4" fillId="0" borderId="7" xfId="0" applyFont="1" applyBorder="1" applyAlignment="1">
      <alignment horizontal="left"/>
    </xf>
    <xf numFmtId="0" fontId="4" fillId="0" borderId="4" xfId="0" applyFont="1" applyBorder="1" applyAlignment="1">
      <alignment wrapText="1"/>
    </xf>
    <xf numFmtId="0" fontId="4" fillId="0" borderId="0" xfId="0" applyFont="1" applyAlignment="1">
      <alignment wrapText="1"/>
    </xf>
    <xf numFmtId="0" fontId="4" fillId="0" borderId="5" xfId="0" applyFont="1" applyBorder="1"/>
    <xf numFmtId="0" fontId="3" fillId="0" borderId="4" xfId="0" applyFont="1" applyBorder="1" applyAlignment="1">
      <alignment horizontal="left"/>
    </xf>
    <xf numFmtId="0" fontId="5" fillId="0" borderId="10" xfId="0" applyFont="1" applyBorder="1" applyAlignment="1">
      <alignment horizontal="left"/>
    </xf>
    <xf numFmtId="0" fontId="3" fillId="0" borderId="4" xfId="0" applyFont="1" applyBorder="1" applyAlignment="1">
      <alignment horizontal="center"/>
    </xf>
    <xf numFmtId="0" fontId="3" fillId="0" borderId="10" xfId="0" applyFont="1" applyBorder="1" applyAlignment="1">
      <alignment horizontal="center"/>
    </xf>
    <xf numFmtId="0" fontId="7" fillId="0" borderId="0" xfId="0" applyFont="1"/>
    <xf numFmtId="0" fontId="0" fillId="0" borderId="5" xfId="0" applyBorder="1" applyAlignment="1">
      <alignment horizontal="center"/>
    </xf>
    <xf numFmtId="0" fontId="0" fillId="2" borderId="0" xfId="0" applyFill="1"/>
    <xf numFmtId="0" fontId="5" fillId="0" borderId="0" xfId="0" applyFont="1" applyAlignment="1">
      <alignment wrapText="1"/>
    </xf>
    <xf numFmtId="0" fontId="0" fillId="0" borderId="0" xfId="0" applyAlignment="1">
      <alignment wrapText="1"/>
    </xf>
    <xf numFmtId="0" fontId="6" fillId="2" borderId="1" xfId="0" applyFont="1" applyFill="1" applyBorder="1" applyAlignment="1">
      <alignment wrapText="1"/>
    </xf>
    <xf numFmtId="0" fontId="3" fillId="3" borderId="3" xfId="0" applyFont="1" applyFill="1" applyBorder="1" applyAlignment="1">
      <alignment horizontal="center" wrapText="1"/>
    </xf>
    <xf numFmtId="0" fontId="4" fillId="3" borderId="6" xfId="0" applyFont="1" applyFill="1" applyBorder="1" applyAlignment="1">
      <alignment wrapText="1"/>
    </xf>
    <xf numFmtId="0" fontId="3" fillId="3" borderId="1" xfId="0" applyFont="1" applyFill="1" applyBorder="1" applyAlignment="1">
      <alignment horizontal="center" wrapText="1"/>
    </xf>
    <xf numFmtId="0" fontId="1" fillId="3" borderId="4" xfId="0" applyFont="1" applyFill="1" applyBorder="1" applyAlignment="1">
      <alignment wrapText="1"/>
    </xf>
    <xf numFmtId="0" fontId="1" fillId="3" borderId="12" xfId="0" applyFont="1" applyFill="1" applyBorder="1" applyAlignment="1">
      <alignment wrapText="1"/>
    </xf>
    <xf numFmtId="0" fontId="3" fillId="3" borderId="13" xfId="0" applyFont="1" applyFill="1" applyBorder="1" applyAlignment="1">
      <alignment horizontal="center" wrapText="1"/>
    </xf>
    <xf numFmtId="0" fontId="1" fillId="3" borderId="5" xfId="0" applyFont="1" applyFill="1" applyBorder="1" applyAlignment="1">
      <alignment wrapText="1"/>
    </xf>
    <xf numFmtId="0" fontId="5" fillId="0" borderId="0" xfId="0" applyFont="1" applyAlignment="1">
      <alignment horizontal="center" wrapText="1"/>
    </xf>
    <xf numFmtId="0" fontId="0" fillId="0" borderId="0" xfId="0" applyAlignment="1">
      <alignment horizontal="center" wrapText="1"/>
    </xf>
    <xf numFmtId="0" fontId="0" fillId="0" borderId="5" xfId="0" applyBorder="1" applyAlignment="1">
      <alignment wrapText="1"/>
    </xf>
    <xf numFmtId="0" fontId="5" fillId="0" borderId="5" xfId="0" applyFont="1" applyBorder="1" applyAlignment="1">
      <alignment wrapText="1"/>
    </xf>
    <xf numFmtId="0" fontId="5" fillId="0" borderId="0" xfId="0" applyFont="1" applyAlignment="1">
      <alignment horizontal="left" wrapText="1"/>
    </xf>
    <xf numFmtId="0" fontId="5" fillId="0" borderId="0" xfId="0" applyFont="1" applyAlignment="1">
      <alignment horizontal="right" wrapText="1"/>
    </xf>
    <xf numFmtId="0" fontId="5" fillId="0" borderId="10" xfId="0" applyFont="1" applyBorder="1" applyAlignment="1">
      <alignment horizontal="left" wrapText="1"/>
    </xf>
    <xf numFmtId="0" fontId="5" fillId="0" borderId="10" xfId="0" applyFont="1" applyBorder="1" applyAlignment="1">
      <alignment wrapText="1"/>
    </xf>
    <xf numFmtId="0" fontId="6" fillId="0" borderId="0" xfId="0" applyFont="1" applyAlignment="1">
      <alignment horizontal="right" wrapText="1"/>
    </xf>
    <xf numFmtId="0" fontId="0" fillId="5" borderId="0" xfId="0" applyFill="1" applyAlignment="1">
      <alignment wrapText="1"/>
    </xf>
    <xf numFmtId="0" fontId="5" fillId="5" borderId="0" xfId="0" applyFont="1" applyFill="1" applyAlignment="1">
      <alignment wrapText="1"/>
    </xf>
    <xf numFmtId="164" fontId="0" fillId="0" borderId="5" xfId="0" applyNumberFormat="1" applyBorder="1" applyAlignment="1">
      <alignment wrapText="1"/>
    </xf>
    <xf numFmtId="164" fontId="1" fillId="0" borderId="5" xfId="0" applyNumberFormat="1" applyFont="1" applyBorder="1"/>
    <xf numFmtId="164" fontId="3" fillId="3" borderId="3" xfId="0" applyNumberFormat="1" applyFont="1" applyFill="1" applyBorder="1" applyAlignment="1">
      <alignment horizontal="center" wrapText="1"/>
    </xf>
    <xf numFmtId="164" fontId="0" fillId="0" borderId="5" xfId="0" applyNumberFormat="1" applyBorder="1"/>
    <xf numFmtId="164" fontId="0" fillId="0" borderId="5" xfId="0" applyNumberFormat="1" applyBorder="1" applyAlignment="1">
      <alignment horizontal="right"/>
    </xf>
    <xf numFmtId="164" fontId="3" fillId="3" borderId="1" xfId="0" applyNumberFormat="1" applyFont="1" applyFill="1" applyBorder="1" applyAlignment="1">
      <alignment horizontal="center" wrapText="1"/>
    </xf>
    <xf numFmtId="164" fontId="5" fillId="0" borderId="5" xfId="0" applyNumberFormat="1" applyFont="1" applyBorder="1"/>
    <xf numFmtId="164" fontId="4" fillId="0" borderId="4" xfId="0" applyNumberFormat="1" applyFont="1" applyBorder="1"/>
    <xf numFmtId="164" fontId="5" fillId="0" borderId="5" xfId="0" applyNumberFormat="1" applyFont="1" applyBorder="1" applyAlignment="1">
      <alignment horizontal="right" wrapText="1"/>
    </xf>
    <xf numFmtId="164" fontId="0" fillId="0" borderId="5" xfId="0" applyNumberFormat="1" applyBorder="1" applyAlignment="1">
      <alignment horizontal="right" wrapText="1"/>
    </xf>
    <xf numFmtId="164" fontId="5" fillId="0" borderId="5" xfId="0" applyNumberFormat="1" applyFont="1" applyBorder="1" applyAlignment="1">
      <alignment horizontal="right"/>
    </xf>
    <xf numFmtId="164" fontId="3" fillId="0" borderId="5" xfId="0" applyNumberFormat="1" applyFont="1" applyBorder="1" applyAlignment="1">
      <alignment horizontal="center"/>
    </xf>
    <xf numFmtId="164" fontId="6" fillId="2" borderId="1" xfId="0" applyNumberFormat="1" applyFont="1" applyFill="1" applyBorder="1" applyAlignment="1">
      <alignment wrapText="1"/>
    </xf>
    <xf numFmtId="164" fontId="3" fillId="3" borderId="5" xfId="0" applyNumberFormat="1" applyFont="1" applyFill="1" applyBorder="1" applyAlignment="1">
      <alignment horizontal="center" wrapText="1"/>
    </xf>
    <xf numFmtId="0" fontId="3" fillId="3" borderId="6" xfId="0" applyFont="1" applyFill="1" applyBorder="1" applyAlignment="1">
      <alignment horizontal="center" wrapText="1"/>
    </xf>
    <xf numFmtId="0" fontId="1" fillId="3" borderId="11" xfId="0" applyFont="1" applyFill="1" applyBorder="1" applyAlignment="1">
      <alignment horizontal="center" wrapText="1"/>
    </xf>
    <xf numFmtId="0" fontId="3" fillId="3" borderId="11" xfId="0" applyFont="1" applyFill="1" applyBorder="1" applyAlignment="1">
      <alignment horizontal="center" wrapText="1"/>
    </xf>
    <xf numFmtId="0" fontId="0" fillId="0" borderId="0" xfId="0" applyAlignment="1">
      <alignment wrapText="1"/>
    </xf>
    <xf numFmtId="0" fontId="4" fillId="0" borderId="7" xfId="0" applyFont="1" applyBorder="1" applyAlignment="1">
      <alignment wrapText="1"/>
    </xf>
    <xf numFmtId="0" fontId="5" fillId="0" borderId="0" xfId="0" applyFont="1" applyAlignment="1">
      <alignment wrapText="1"/>
    </xf>
    <xf numFmtId="0" fontId="5" fillId="4" borderId="0" xfId="0" applyFont="1" applyFill="1" applyAlignment="1">
      <alignment horizontal="left" wrapText="1"/>
    </xf>
    <xf numFmtId="0" fontId="4" fillId="2" borderId="6" xfId="0" applyFont="1" applyFill="1" applyBorder="1" applyAlignment="1">
      <alignment wrapText="1"/>
    </xf>
    <xf numFmtId="0" fontId="2" fillId="0" borderId="11" xfId="0" applyFont="1" applyBorder="1" applyAlignment="1">
      <alignment wrapText="1"/>
    </xf>
    <xf numFmtId="164" fontId="2" fillId="0" borderId="11" xfId="0" applyNumberFormat="1" applyFont="1" applyBorder="1" applyAlignment="1">
      <alignment wrapText="1"/>
    </xf>
    <xf numFmtId="0" fontId="2" fillId="0" borderId="2" xfId="0" applyFont="1" applyBorder="1" applyAlignment="1">
      <alignment wrapText="1"/>
    </xf>
    <xf numFmtId="0" fontId="3" fillId="0" borderId="4" xfId="0" applyFont="1" applyBorder="1" applyAlignment="1">
      <alignment horizontal="left" vertical="center" wrapText="1"/>
    </xf>
    <xf numFmtId="49" fontId="4" fillId="0" borderId="0" xfId="0" applyNumberFormat="1" applyFont="1" applyAlignment="1">
      <alignment horizontal="right"/>
    </xf>
    <xf numFmtId="0" fontId="6" fillId="0" borderId="0" xfId="0" applyFont="1" applyAlignment="1">
      <alignment horizontal="right"/>
    </xf>
    <xf numFmtId="0" fontId="4" fillId="0" borderId="0" xfId="0" applyFont="1" applyAlignment="1">
      <alignment horizontal="right"/>
    </xf>
    <xf numFmtId="49" fontId="4" fillId="0" borderId="8" xfId="0" applyNumberFormat="1" applyFont="1" applyBorder="1" applyAlignment="1">
      <alignment horizontal="right"/>
    </xf>
    <xf numFmtId="0" fontId="8" fillId="0" borderId="0" xfId="0" applyFont="1" applyAlignment="1">
      <alignment horizontal="center"/>
    </xf>
    <xf numFmtId="0" fontId="3" fillId="0" borderId="6" xfId="0" applyFont="1" applyBorder="1"/>
    <xf numFmtId="0" fontId="1" fillId="0" borderId="12" xfId="0" applyFont="1" applyBorder="1" applyAlignment="1">
      <alignment horizontal="center"/>
    </xf>
    <xf numFmtId="0" fontId="1" fillId="0" borderId="12" xfId="0" applyFont="1" applyBorder="1"/>
    <xf numFmtId="0" fontId="0" fillId="0" borderId="12" xfId="0" applyBorder="1"/>
    <xf numFmtId="0" fontId="1" fillId="0" borderId="6" xfId="0" applyFont="1" applyBorder="1"/>
    <xf numFmtId="0" fontId="1" fillId="0" borderId="1" xfId="0" applyFont="1" applyBorder="1" applyAlignment="1"/>
    <xf numFmtId="0" fontId="1" fillId="0" borderId="12" xfId="0" applyFont="1" applyBorder="1" applyAlignment="1"/>
    <xf numFmtId="0" fontId="0" fillId="0" borderId="12" xfId="0" applyBorder="1" applyAlignment="1"/>
    <xf numFmtId="0" fontId="0" fillId="0" borderId="0" xfId="0" applyAlignment="1"/>
    <xf numFmtId="0" fontId="2" fillId="0" borderId="8" xfId="0" applyFont="1" applyBorder="1" applyAlignment="1"/>
    <xf numFmtId="164" fontId="2" fillId="0" borderId="8" xfId="0" applyNumberFormat="1" applyFont="1" applyBorder="1" applyAlignment="1"/>
    <xf numFmtId="0" fontId="2" fillId="0" borderId="9" xfId="0" applyFont="1" applyBorder="1" applyAlignment="1"/>
    <xf numFmtId="0" fontId="2" fillId="0" borderId="4" xfId="0" applyFont="1" applyBorder="1" applyAlignment="1"/>
    <xf numFmtId="0" fontId="4" fillId="2" borderId="0" xfId="0" applyFont="1" applyFill="1" applyAlignment="1"/>
  </cellXfs>
  <cellStyles count="1">
    <cellStyle name="Normal" xfId="0" builtinId="0"/>
  </cellStyles>
  <dxfs count="1">
    <dxf>
      <font>
        <color rgb="FF000000"/>
      </font>
      <fill>
        <patternFill>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8"/>
  <sheetViews>
    <sheetView tabSelected="1" zoomScaleNormal="100" zoomScaleSheetLayoutView="100" workbookViewId="0">
      <selection activeCell="K7" sqref="K7"/>
    </sheetView>
  </sheetViews>
  <sheetFormatPr defaultColWidth="13.5" defaultRowHeight="15.75"/>
  <cols>
    <col min="1" max="2" width="30" customWidth="1"/>
    <col min="3" max="3" width="34" customWidth="1"/>
    <col min="4" max="4" width="21" customWidth="1"/>
    <col min="5" max="5" width="8" customWidth="1"/>
    <col min="6" max="7" width="18" customWidth="1"/>
    <col min="8" max="8" width="8" customWidth="1"/>
  </cols>
  <sheetData>
    <row r="1" spans="1:8" ht="33.950000000000003" customHeight="1">
      <c r="A1" s="81" t="s">
        <v>0</v>
      </c>
      <c r="B1" s="89"/>
      <c r="C1" s="89"/>
      <c r="D1" s="89"/>
      <c r="E1" s="89"/>
      <c r="F1" s="89"/>
      <c r="G1" s="89"/>
      <c r="H1" s="90"/>
    </row>
    <row r="2" spans="1:8" ht="24.95" customHeight="1">
      <c r="A2" s="86" t="s">
        <v>1</v>
      </c>
      <c r="B2" s="1">
        <v>202</v>
      </c>
      <c r="C2" s="85"/>
      <c r="D2" s="83"/>
      <c r="E2" s="83"/>
      <c r="F2" s="85"/>
      <c r="G2" s="85"/>
      <c r="H2" s="85"/>
    </row>
    <row r="3" spans="1:8" ht="24.95" customHeight="1">
      <c r="A3" s="82" t="s">
        <v>2</v>
      </c>
      <c r="B3" s="87" t="s">
        <v>3</v>
      </c>
      <c r="C3" s="88"/>
      <c r="D3" s="88"/>
      <c r="E3" s="83"/>
      <c r="F3" s="84"/>
      <c r="G3" s="84"/>
      <c r="H3" s="84"/>
    </row>
    <row r="4" spans="1:8" ht="24.95" customHeight="1">
      <c r="A4" s="82" t="s">
        <v>4</v>
      </c>
      <c r="B4" s="1" t="s">
        <v>5</v>
      </c>
      <c r="C4" s="84"/>
      <c r="D4" s="83"/>
      <c r="E4" s="83"/>
      <c r="F4" s="84"/>
      <c r="G4" s="84"/>
      <c r="H4" s="84"/>
    </row>
    <row r="5" spans="1:8" ht="24.95" customHeight="1">
      <c r="A5" s="82" t="s">
        <v>6</v>
      </c>
      <c r="B5" s="87">
        <v>1</v>
      </c>
      <c r="C5" s="88"/>
      <c r="D5" s="88"/>
      <c r="E5" s="88"/>
      <c r="F5" s="88"/>
      <c r="G5" s="84"/>
      <c r="H5" s="84"/>
    </row>
    <row r="6" spans="1:8" ht="15" customHeight="1">
      <c r="A6" s="4"/>
      <c r="B6" s="84"/>
      <c r="C6" s="84"/>
      <c r="D6" s="83"/>
      <c r="E6" s="83"/>
      <c r="F6" s="84"/>
      <c r="G6" s="84"/>
      <c r="H6" s="3"/>
    </row>
    <row r="7" spans="1:8" ht="44.1" customHeight="1">
      <c r="A7" s="72" t="s">
        <v>7</v>
      </c>
      <c r="B7" s="73"/>
      <c r="C7" s="73"/>
      <c r="D7" s="73"/>
      <c r="E7" s="73"/>
      <c r="F7" s="73"/>
      <c r="G7" s="73"/>
      <c r="H7" s="75"/>
    </row>
    <row r="8" spans="1:8" ht="63.95" customHeight="1">
      <c r="A8" s="65" t="s">
        <v>8</v>
      </c>
      <c r="B8" s="66" t="s">
        <v>9</v>
      </c>
      <c r="C8" s="66" t="s">
        <v>10</v>
      </c>
      <c r="D8" s="67" t="s">
        <v>11</v>
      </c>
      <c r="E8" s="67" t="s">
        <v>12</v>
      </c>
      <c r="F8" s="67" t="s">
        <v>13</v>
      </c>
      <c r="G8" s="33" t="s">
        <v>14</v>
      </c>
      <c r="H8" s="33" t="s">
        <v>15</v>
      </c>
    </row>
    <row r="9" spans="1:8" ht="44.1" customHeight="1">
      <c r="A9" s="5"/>
      <c r="B9" s="31" t="s">
        <v>16</v>
      </c>
      <c r="C9" s="31" t="s">
        <v>17</v>
      </c>
      <c r="D9" s="40" t="s">
        <v>18</v>
      </c>
      <c r="E9" s="41">
        <v>1</v>
      </c>
      <c r="F9" s="49">
        <v>50</v>
      </c>
      <c r="G9" s="51">
        <f t="shared" ref="G9:G10" si="0">E9*F9</f>
        <v>50</v>
      </c>
      <c r="H9" s="43" t="s">
        <v>19</v>
      </c>
    </row>
    <row r="10" spans="1:8" ht="44.1" customHeight="1">
      <c r="A10" s="5"/>
      <c r="B10" s="31" t="s">
        <v>20</v>
      </c>
      <c r="C10" s="31" t="s">
        <v>21</v>
      </c>
      <c r="D10" s="40" t="s">
        <v>22</v>
      </c>
      <c r="E10" s="41">
        <v>1</v>
      </c>
      <c r="F10" s="31">
        <f>2.5+15</f>
        <v>17.5</v>
      </c>
      <c r="G10" s="51">
        <f t="shared" si="0"/>
        <v>17.5</v>
      </c>
      <c r="H10" s="43" t="s">
        <v>19</v>
      </c>
    </row>
    <row r="11" spans="1:8" ht="15" customHeight="1">
      <c r="A11" s="11"/>
      <c r="B11" s="4"/>
      <c r="C11" s="3"/>
      <c r="D11" s="12"/>
      <c r="E11" s="2"/>
      <c r="F11" s="3"/>
      <c r="G11" s="52"/>
      <c r="H11" s="13"/>
    </row>
    <row r="12" spans="1:8" ht="44.1" customHeight="1">
      <c r="A12" s="72" t="s">
        <v>23</v>
      </c>
      <c r="B12" s="73"/>
      <c r="C12" s="73"/>
      <c r="D12" s="73"/>
      <c r="E12" s="73"/>
      <c r="F12" s="73"/>
      <c r="G12" s="74"/>
      <c r="H12" s="75"/>
    </row>
    <row r="13" spans="1:8" ht="63.95" customHeight="1">
      <c r="A13" s="34" t="s">
        <v>24</v>
      </c>
      <c r="B13" s="66" t="s">
        <v>9</v>
      </c>
      <c r="C13" s="66" t="s">
        <v>10</v>
      </c>
      <c r="D13" s="67" t="s">
        <v>11</v>
      </c>
      <c r="E13" s="67" t="s">
        <v>12</v>
      </c>
      <c r="F13" s="67" t="s">
        <v>13</v>
      </c>
      <c r="G13" s="53" t="s">
        <v>14</v>
      </c>
      <c r="H13" s="33" t="s">
        <v>15</v>
      </c>
    </row>
    <row r="14" spans="1:8" ht="15" customHeight="1">
      <c r="A14" s="5"/>
      <c r="D14" s="6"/>
      <c r="E14" s="7"/>
      <c r="G14" s="54"/>
      <c r="H14" s="9"/>
    </row>
    <row r="15" spans="1:8" ht="15" customHeight="1">
      <c r="A15" s="5"/>
      <c r="D15" s="6"/>
      <c r="E15" s="7"/>
      <c r="G15" s="54"/>
      <c r="H15" s="9"/>
    </row>
    <row r="16" spans="1:8" ht="15" customHeight="1">
      <c r="A16" s="5"/>
      <c r="D16" s="7"/>
      <c r="E16" s="7"/>
      <c r="G16" s="54"/>
      <c r="H16" s="9"/>
    </row>
    <row r="17" spans="1:8" ht="15" customHeight="1">
      <c r="A17" s="5"/>
      <c r="D17" s="7"/>
      <c r="E17" s="7"/>
      <c r="G17" s="54"/>
      <c r="H17" s="9"/>
    </row>
    <row r="18" spans="1:8" ht="15" customHeight="1">
      <c r="A18" s="5"/>
      <c r="D18" s="7"/>
      <c r="E18" s="7"/>
      <c r="G18" s="54"/>
      <c r="H18" s="9"/>
    </row>
    <row r="19" spans="1:8" ht="15" customHeight="1">
      <c r="A19" s="5"/>
      <c r="B19" s="78" t="s">
        <v>25</v>
      </c>
      <c r="C19" s="90"/>
      <c r="D19" s="90"/>
      <c r="E19" s="90"/>
      <c r="F19" s="90"/>
      <c r="G19" s="54"/>
      <c r="H19" s="9"/>
    </row>
    <row r="20" spans="1:8" ht="15" customHeight="1">
      <c r="A20" s="5"/>
      <c r="B20" s="78"/>
      <c r="C20" s="90"/>
      <c r="D20" s="90"/>
      <c r="E20" s="90"/>
      <c r="F20" s="90"/>
      <c r="G20" s="14"/>
      <c r="H20" s="14"/>
    </row>
    <row r="21" spans="1:8" ht="15" customHeight="1">
      <c r="A21" s="15"/>
      <c r="B21" s="79"/>
      <c r="C21" s="90"/>
      <c r="D21" s="90"/>
      <c r="E21" s="90"/>
      <c r="F21" s="90"/>
      <c r="G21" s="54"/>
      <c r="H21" s="9"/>
    </row>
    <row r="22" spans="1:8" ht="15" customHeight="1">
      <c r="A22" s="16"/>
      <c r="B22" s="17"/>
      <c r="C22" s="17"/>
      <c r="D22" s="6"/>
      <c r="E22" s="6"/>
      <c r="F22" s="18"/>
      <c r="G22" s="55"/>
      <c r="H22" s="8"/>
    </row>
    <row r="23" spans="1:8" ht="15" customHeight="1">
      <c r="A23" s="16" t="s">
        <v>26</v>
      </c>
      <c r="B23" s="17"/>
      <c r="C23" s="17"/>
      <c r="D23" s="6"/>
      <c r="E23" s="6"/>
      <c r="F23" s="18"/>
      <c r="G23" s="55"/>
      <c r="H23" s="9"/>
    </row>
    <row r="24" spans="1:8" ht="15" customHeight="1">
      <c r="A24" s="19"/>
      <c r="B24" s="80"/>
      <c r="C24" s="91"/>
      <c r="D24" s="91"/>
      <c r="E24" s="91"/>
      <c r="F24" s="91"/>
      <c r="G24" s="55"/>
      <c r="H24" s="9"/>
    </row>
    <row r="25" spans="1:8" ht="63.95" customHeight="1">
      <c r="A25" s="34" t="s">
        <v>27</v>
      </c>
      <c r="B25" s="66" t="s">
        <v>9</v>
      </c>
      <c r="C25" s="66" t="s">
        <v>10</v>
      </c>
      <c r="D25" s="67" t="s">
        <v>11</v>
      </c>
      <c r="E25" s="67" t="s">
        <v>12</v>
      </c>
      <c r="F25" s="67" t="s">
        <v>13</v>
      </c>
      <c r="G25" s="56" t="s">
        <v>14</v>
      </c>
      <c r="H25" s="35" t="s">
        <v>15</v>
      </c>
    </row>
    <row r="26" spans="1:8" ht="44.1" customHeight="1">
      <c r="A26" s="5"/>
      <c r="B26" s="31" t="s">
        <v>28</v>
      </c>
      <c r="C26" s="31" t="s">
        <v>29</v>
      </c>
      <c r="D26" s="41" t="s">
        <v>30</v>
      </c>
      <c r="E26" s="41">
        <v>1</v>
      </c>
      <c r="F26" s="31">
        <f>G53</f>
        <v>67.5</v>
      </c>
      <c r="G26" s="51">
        <f t="shared" ref="G26:G30" si="1">E26*F26</f>
        <v>67.5</v>
      </c>
      <c r="H26" s="43" t="s">
        <v>19</v>
      </c>
    </row>
    <row r="27" spans="1:8" ht="44.1" customHeight="1">
      <c r="A27" s="5"/>
      <c r="B27" s="30" t="s">
        <v>31</v>
      </c>
      <c r="C27" s="30" t="s">
        <v>32</v>
      </c>
      <c r="D27" s="40" t="s">
        <v>33</v>
      </c>
      <c r="E27" s="40">
        <v>1</v>
      </c>
      <c r="F27" s="50">
        <v>10</v>
      </c>
      <c r="G27" s="51">
        <f t="shared" si="1"/>
        <v>10</v>
      </c>
      <c r="H27" s="43" t="s">
        <v>19</v>
      </c>
    </row>
    <row r="28" spans="1:8" ht="44.1" customHeight="1">
      <c r="A28" s="5"/>
      <c r="B28" s="31"/>
      <c r="C28" s="31"/>
      <c r="D28" s="41"/>
      <c r="E28" s="41"/>
      <c r="F28" s="31"/>
      <c r="G28" s="51">
        <f t="shared" si="1"/>
        <v>0</v>
      </c>
      <c r="H28" s="43"/>
    </row>
    <row r="29" spans="1:8" ht="44.1" customHeight="1">
      <c r="A29" s="5"/>
      <c r="B29" s="31"/>
      <c r="C29" s="31"/>
      <c r="D29" s="41"/>
      <c r="E29" s="41"/>
      <c r="F29" s="31"/>
      <c r="G29" s="51">
        <f t="shared" si="1"/>
        <v>0</v>
      </c>
      <c r="H29" s="43"/>
    </row>
    <row r="30" spans="1:8" ht="44.1" customHeight="1">
      <c r="A30" s="5"/>
      <c r="B30" s="31"/>
      <c r="C30" s="31"/>
      <c r="D30" s="41"/>
      <c r="E30" s="41"/>
      <c r="F30" s="31"/>
      <c r="G30" s="51">
        <f t="shared" si="1"/>
        <v>0</v>
      </c>
      <c r="H30" s="43"/>
    </row>
    <row r="31" spans="1:8" ht="15" customHeight="1">
      <c r="A31" s="5"/>
      <c r="B31" s="78" t="s">
        <v>34</v>
      </c>
      <c r="C31" s="90"/>
      <c r="D31" s="90"/>
      <c r="E31" s="90"/>
      <c r="F31" s="90"/>
      <c r="G31" s="54">
        <f>SUM(G26:G30)</f>
        <v>77.5</v>
      </c>
      <c r="H31" s="9" t="s">
        <v>19</v>
      </c>
    </row>
    <row r="32" spans="1:8" ht="15" customHeight="1">
      <c r="A32" s="5"/>
      <c r="B32" s="78" t="s">
        <v>35</v>
      </c>
      <c r="C32" s="90"/>
      <c r="D32" s="90"/>
      <c r="E32" s="90"/>
      <c r="F32" s="90"/>
      <c r="G32" s="14">
        <v>0.25</v>
      </c>
      <c r="H32" s="14"/>
    </row>
    <row r="33" spans="1:8" ht="15" customHeight="1">
      <c r="A33" s="15"/>
      <c r="B33" s="79" t="s">
        <v>36</v>
      </c>
      <c r="C33" s="90"/>
      <c r="D33" s="90"/>
      <c r="E33" s="90"/>
      <c r="F33" s="90"/>
      <c r="G33" s="54">
        <f>G31*(1+G32)</f>
        <v>96.875</v>
      </c>
      <c r="H33" s="9" t="s">
        <v>19</v>
      </c>
    </row>
    <row r="34" spans="1:8" ht="15" customHeight="1">
      <c r="A34" s="16"/>
      <c r="B34" s="17"/>
      <c r="C34" s="17"/>
      <c r="D34" s="6"/>
      <c r="E34" s="6"/>
      <c r="F34" s="18"/>
      <c r="G34" s="55"/>
      <c r="H34" s="8"/>
    </row>
    <row r="35" spans="1:8" ht="15" customHeight="1">
      <c r="A35" s="16" t="s">
        <v>37</v>
      </c>
      <c r="B35" s="17" t="s">
        <v>38</v>
      </c>
      <c r="C35" s="17" t="s">
        <v>39</v>
      </c>
      <c r="D35" s="6" t="s">
        <v>40</v>
      </c>
      <c r="E35" s="6">
        <v>1</v>
      </c>
      <c r="F35" s="18">
        <v>1500</v>
      </c>
      <c r="G35" s="55">
        <f>E35*F35</f>
        <v>1500</v>
      </c>
      <c r="H35" s="9" t="s">
        <v>19</v>
      </c>
    </row>
    <row r="36" spans="1:8" ht="15" customHeight="1">
      <c r="A36" s="19"/>
      <c r="B36" s="80" t="s">
        <v>41</v>
      </c>
      <c r="C36" s="91"/>
      <c r="D36" s="91"/>
      <c r="E36" s="91"/>
      <c r="F36" s="91"/>
      <c r="G36" s="55">
        <f>G35-G33</f>
        <v>1403.125</v>
      </c>
      <c r="H36" s="9" t="s">
        <v>19</v>
      </c>
    </row>
    <row r="37" spans="1:8" ht="63.95" customHeight="1">
      <c r="A37" s="34" t="s">
        <v>24</v>
      </c>
      <c r="B37" s="66" t="s">
        <v>9</v>
      </c>
      <c r="C37" s="66" t="s">
        <v>10</v>
      </c>
      <c r="D37" s="67" t="s">
        <v>11</v>
      </c>
      <c r="E37" s="67" t="s">
        <v>12</v>
      </c>
      <c r="F37" s="67" t="s">
        <v>13</v>
      </c>
      <c r="G37" s="56" t="s">
        <v>14</v>
      </c>
      <c r="H37" s="35" t="s">
        <v>15</v>
      </c>
    </row>
    <row r="38" spans="1:8" ht="15" customHeight="1">
      <c r="A38" s="5"/>
      <c r="B38" s="10"/>
      <c r="D38" s="6"/>
      <c r="E38" s="7"/>
      <c r="F38" s="10"/>
      <c r="G38" s="57"/>
      <c r="H38" s="9"/>
    </row>
    <row r="39" spans="1:8" ht="15" customHeight="1">
      <c r="A39" s="5"/>
      <c r="D39" s="7"/>
      <c r="E39" s="7"/>
      <c r="G39" s="54"/>
      <c r="H39" s="9"/>
    </row>
    <row r="40" spans="1:8" ht="15" customHeight="1">
      <c r="A40" s="5"/>
      <c r="D40" s="7"/>
      <c r="E40" s="7"/>
      <c r="G40" s="54"/>
      <c r="H40" s="9"/>
    </row>
    <row r="41" spans="1:8" ht="15" customHeight="1">
      <c r="A41" s="5"/>
      <c r="D41" s="7"/>
      <c r="E41" s="7"/>
      <c r="G41" s="54"/>
      <c r="H41" s="9"/>
    </row>
    <row r="42" spans="1:8" ht="15" customHeight="1">
      <c r="A42" s="5"/>
      <c r="B42" s="78" t="s">
        <v>25</v>
      </c>
      <c r="C42" s="90"/>
      <c r="D42" s="90"/>
      <c r="E42" s="90"/>
      <c r="F42" s="90"/>
      <c r="G42" s="54"/>
      <c r="H42" s="9"/>
    </row>
    <row r="43" spans="1:8" ht="15" customHeight="1">
      <c r="A43" s="5"/>
      <c r="B43" s="78"/>
      <c r="C43" s="90"/>
      <c r="D43" s="90"/>
      <c r="E43" s="90"/>
      <c r="F43" s="90"/>
      <c r="G43" s="14"/>
      <c r="H43" s="14"/>
    </row>
    <row r="44" spans="1:8" ht="15" customHeight="1">
      <c r="A44" s="5"/>
      <c r="B44" s="79"/>
      <c r="C44" s="90"/>
      <c r="D44" s="90"/>
      <c r="E44" s="90"/>
      <c r="F44" s="90"/>
      <c r="G44" s="54"/>
      <c r="H44" s="9"/>
    </row>
    <row r="45" spans="1:8" ht="15" customHeight="1">
      <c r="A45" s="16"/>
      <c r="B45" s="17"/>
      <c r="C45" s="17"/>
      <c r="D45" s="6"/>
      <c r="E45" s="6"/>
      <c r="F45" s="18"/>
      <c r="G45" s="55"/>
      <c r="H45" s="8"/>
    </row>
    <row r="46" spans="1:8" ht="15" customHeight="1">
      <c r="A46" s="16" t="s">
        <v>42</v>
      </c>
      <c r="B46" s="17"/>
      <c r="C46" s="17"/>
      <c r="D46" s="6"/>
      <c r="E46" s="6"/>
      <c r="F46" s="18"/>
      <c r="G46" s="55"/>
      <c r="H46" s="9"/>
    </row>
    <row r="47" spans="1:8" ht="15" customHeight="1">
      <c r="A47" s="19"/>
      <c r="B47" s="80"/>
      <c r="C47" s="91"/>
      <c r="D47" s="91"/>
      <c r="E47" s="91"/>
      <c r="F47" s="91"/>
      <c r="G47" s="55"/>
      <c r="H47" s="9"/>
    </row>
    <row r="48" spans="1:8" ht="63.95" customHeight="1">
      <c r="A48" s="34" t="s">
        <v>43</v>
      </c>
      <c r="B48" s="66" t="s">
        <v>9</v>
      </c>
      <c r="C48" s="66" t="s">
        <v>10</v>
      </c>
      <c r="D48" s="67" t="s">
        <v>11</v>
      </c>
      <c r="E48" s="67" t="s">
        <v>12</v>
      </c>
      <c r="F48" s="67" t="s">
        <v>13</v>
      </c>
      <c r="G48" s="56" t="s">
        <v>14</v>
      </c>
      <c r="H48" s="35" t="s">
        <v>15</v>
      </c>
    </row>
    <row r="49" spans="1:8" ht="44.1" customHeight="1">
      <c r="A49" s="5"/>
      <c r="B49" s="30" t="str">
        <f>B9</f>
        <v>Curiosity Nano target (PROVISIONAL)</v>
      </c>
      <c r="C49" s="31" t="str">
        <f>C9</f>
        <v>PIC18F57Q43 Curiosity Nano</v>
      </c>
      <c r="D49" s="40" t="str">
        <f>D9</f>
        <v>3.3 V design</v>
      </c>
      <c r="E49" s="41">
        <f>E9</f>
        <v>1</v>
      </c>
      <c r="F49" s="31">
        <f>F9</f>
        <v>50</v>
      </c>
      <c r="G49" s="51">
        <f>E49*F49</f>
        <v>50</v>
      </c>
      <c r="H49" s="43" t="s">
        <v>19</v>
      </c>
    </row>
    <row r="50" spans="1:8" ht="44.1" customHeight="1">
      <c r="A50" s="5"/>
      <c r="B50" s="31" t="str">
        <f>B10</f>
        <v>LCD module incl. backlight</v>
      </c>
      <c r="C50" s="31" t="str">
        <f>C10</f>
        <v>NHD-0420H1Z-FSW-GBW-33V3</v>
      </c>
      <c r="D50" s="41" t="str">
        <f>D10</f>
        <v>3.0-3.6 V logic</v>
      </c>
      <c r="E50" s="41">
        <f>E10</f>
        <v>1</v>
      </c>
      <c r="F50" s="31">
        <f>F10</f>
        <v>17.5</v>
      </c>
      <c r="G50" s="51">
        <f t="shared" ref="G50:G52" si="2">E50*F50</f>
        <v>17.5</v>
      </c>
      <c r="H50" s="43" t="s">
        <v>19</v>
      </c>
    </row>
    <row r="51" spans="1:8" ht="44.1" customHeight="1">
      <c r="A51" s="5"/>
      <c r="B51" s="31"/>
      <c r="C51" s="31"/>
      <c r="D51" s="41"/>
      <c r="E51" s="41"/>
      <c r="F51" s="31"/>
      <c r="G51" s="51">
        <f t="shared" si="2"/>
        <v>0</v>
      </c>
      <c r="H51" s="43"/>
    </row>
    <row r="52" spans="1:8" ht="44.1" customHeight="1">
      <c r="A52" s="5"/>
      <c r="B52" s="31"/>
      <c r="C52" s="31"/>
      <c r="D52" s="41"/>
      <c r="E52" s="41"/>
      <c r="F52" s="31"/>
      <c r="G52" s="51">
        <f t="shared" si="2"/>
        <v>0</v>
      </c>
      <c r="H52" s="43"/>
    </row>
    <row r="53" spans="1:8" ht="15" customHeight="1">
      <c r="A53" s="5"/>
      <c r="B53" s="78" t="s">
        <v>34</v>
      </c>
      <c r="C53" s="90"/>
      <c r="D53" s="90"/>
      <c r="E53" s="90"/>
      <c r="F53" s="90"/>
      <c r="G53" s="54">
        <f>SUM(G49:G52)</f>
        <v>67.5</v>
      </c>
      <c r="H53" s="9" t="s">
        <v>19</v>
      </c>
    </row>
    <row r="54" spans="1:8" ht="15" customHeight="1">
      <c r="A54" s="5"/>
      <c r="B54" s="78" t="s">
        <v>35</v>
      </c>
      <c r="C54" s="90"/>
      <c r="D54" s="90"/>
      <c r="E54" s="90"/>
      <c r="F54" s="90"/>
      <c r="G54" s="14">
        <v>0.25</v>
      </c>
      <c r="H54" s="14"/>
    </row>
    <row r="55" spans="1:8" ht="15" customHeight="1">
      <c r="A55" s="5"/>
      <c r="B55" s="79" t="s">
        <v>44</v>
      </c>
      <c r="C55" s="90"/>
      <c r="D55" s="90"/>
      <c r="E55" s="90"/>
      <c r="F55" s="90"/>
      <c r="G55" s="54">
        <f>G53*(1+G54)</f>
        <v>84.375</v>
      </c>
      <c r="H55" s="9" t="s">
        <v>19</v>
      </c>
    </row>
    <row r="56" spans="1:8" ht="15" customHeight="1">
      <c r="A56" s="16"/>
      <c r="B56" s="10"/>
      <c r="D56" s="6"/>
      <c r="E56" s="7"/>
      <c r="G56" s="54"/>
      <c r="H56" s="13"/>
    </row>
    <row r="57" spans="1:8" ht="15" customHeight="1">
      <c r="A57" s="16" t="s">
        <v>45</v>
      </c>
      <c r="B57" s="10" t="s">
        <v>46</v>
      </c>
      <c r="C57" t="s">
        <v>32</v>
      </c>
      <c r="D57" s="6" t="s">
        <v>47</v>
      </c>
      <c r="E57" s="7">
        <v>1</v>
      </c>
      <c r="F57">
        <v>800</v>
      </c>
      <c r="G57" s="54">
        <f>E57*F57</f>
        <v>800</v>
      </c>
      <c r="H57" s="9" t="s">
        <v>19</v>
      </c>
    </row>
    <row r="58" spans="1:8" ht="15" customHeight="1">
      <c r="A58" s="5"/>
      <c r="B58" s="77" t="s">
        <v>48</v>
      </c>
      <c r="C58" s="90"/>
      <c r="D58" s="90"/>
      <c r="E58" s="90"/>
      <c r="F58" s="90"/>
      <c r="G58" s="55">
        <f>G57-G55</f>
        <v>715.625</v>
      </c>
      <c r="H58" s="9" t="s">
        <v>19</v>
      </c>
    </row>
    <row r="59" spans="1:8" ht="15" customHeight="1">
      <c r="A59" s="20"/>
      <c r="B59" s="21"/>
      <c r="C59" s="21"/>
      <c r="D59" s="21"/>
      <c r="E59" s="21"/>
      <c r="F59" s="21"/>
      <c r="G59" s="58"/>
      <c r="H59" s="22"/>
    </row>
    <row r="60" spans="1:8" ht="44.1" customHeight="1">
      <c r="A60" s="72" t="s">
        <v>49</v>
      </c>
      <c r="B60" s="73"/>
      <c r="C60" s="73"/>
      <c r="D60" s="73"/>
      <c r="E60" s="73"/>
      <c r="F60" s="73"/>
      <c r="G60" s="74"/>
      <c r="H60" s="75"/>
    </row>
    <row r="61" spans="1:8" ht="15" customHeight="1">
      <c r="A61" s="69"/>
      <c r="B61" s="91"/>
      <c r="C61" s="91"/>
      <c r="D61" s="91"/>
      <c r="E61" s="91"/>
      <c r="F61" s="91"/>
      <c r="G61" s="92"/>
      <c r="H61" s="93"/>
    </row>
    <row r="62" spans="1:8" ht="65.099999999999994" customHeight="1">
      <c r="A62" s="72" t="s">
        <v>50</v>
      </c>
      <c r="B62" s="73"/>
      <c r="C62" s="73"/>
      <c r="D62" s="73"/>
      <c r="E62" s="73"/>
      <c r="F62" s="73"/>
      <c r="G62" s="74"/>
      <c r="H62" s="75"/>
    </row>
    <row r="63" spans="1:8" ht="63.95" customHeight="1">
      <c r="A63" s="34" t="s">
        <v>51</v>
      </c>
      <c r="B63" s="66" t="s">
        <v>9</v>
      </c>
      <c r="C63" s="66" t="s">
        <v>10</v>
      </c>
      <c r="D63" s="67" t="s">
        <v>11</v>
      </c>
      <c r="E63" s="67" t="s">
        <v>52</v>
      </c>
      <c r="F63" s="67" t="s">
        <v>13</v>
      </c>
      <c r="G63" s="56" t="s">
        <v>14</v>
      </c>
      <c r="H63" s="35" t="s">
        <v>15</v>
      </c>
    </row>
    <row r="64" spans="1:8" ht="44.1" customHeight="1">
      <c r="A64" s="23" t="s">
        <v>53</v>
      </c>
      <c r="B64" s="44" t="s">
        <v>54</v>
      </c>
      <c r="C64" s="40" t="s">
        <v>55</v>
      </c>
      <c r="D64" s="40" t="s">
        <v>56</v>
      </c>
      <c r="E64" s="40" t="s">
        <v>57</v>
      </c>
      <c r="F64" s="45">
        <v>1000</v>
      </c>
      <c r="G64" s="59">
        <f>F64</f>
        <v>1000</v>
      </c>
      <c r="H64" s="46" t="s">
        <v>19</v>
      </c>
    </row>
    <row r="65" spans="1:8" ht="44.1" customHeight="1">
      <c r="A65" s="25"/>
      <c r="B65" s="44"/>
      <c r="C65" s="44"/>
      <c r="D65" s="40"/>
      <c r="E65" s="40"/>
      <c r="F65" s="45"/>
      <c r="G65" s="60"/>
      <c r="H65" s="47"/>
    </row>
    <row r="66" spans="1:8" ht="44.1" customHeight="1">
      <c r="A66" s="76" t="s">
        <v>58</v>
      </c>
      <c r="B66" s="44" t="s">
        <v>59</v>
      </c>
      <c r="C66" s="44" t="s">
        <v>39</v>
      </c>
      <c r="D66" s="40" t="s">
        <v>60</v>
      </c>
      <c r="E66" s="40">
        <v>1</v>
      </c>
      <c r="F66" s="45">
        <f>G33</f>
        <v>96.875</v>
      </c>
      <c r="G66" s="60">
        <f t="shared" ref="G66:G68" si="3">E66*F66</f>
        <v>96.875</v>
      </c>
      <c r="H66" s="43" t="s">
        <v>19</v>
      </c>
    </row>
    <row r="67" spans="1:8" ht="44.1" customHeight="1">
      <c r="A67" s="94"/>
      <c r="B67" s="44" t="s">
        <v>61</v>
      </c>
      <c r="C67" s="44" t="s">
        <v>39</v>
      </c>
      <c r="D67" s="40" t="s">
        <v>62</v>
      </c>
      <c r="E67" s="40">
        <v>1</v>
      </c>
      <c r="F67" s="45">
        <f>10*(1+G32)</f>
        <v>12.5</v>
      </c>
      <c r="G67" s="60">
        <f t="shared" si="3"/>
        <v>12.5</v>
      </c>
      <c r="H67" s="43" t="s">
        <v>19</v>
      </c>
    </row>
    <row r="68" spans="1:8" ht="44.1" customHeight="1">
      <c r="A68" s="94"/>
      <c r="B68" s="30"/>
      <c r="C68" s="31"/>
      <c r="D68" s="40"/>
      <c r="E68" s="41"/>
      <c r="F68" s="31"/>
      <c r="G68" s="51">
        <f t="shared" si="3"/>
        <v>0</v>
      </c>
      <c r="H68" s="43"/>
    </row>
    <row r="69" spans="1:8" ht="15" customHeight="1">
      <c r="A69" s="25"/>
      <c r="B69" s="77" t="s">
        <v>63</v>
      </c>
      <c r="C69" s="90"/>
      <c r="D69" s="90"/>
      <c r="E69" s="90"/>
      <c r="F69" s="90"/>
      <c r="G69" s="61">
        <f>G64-SUM(G66:G68)</f>
        <v>890.625</v>
      </c>
      <c r="H69" s="24" t="s">
        <v>19</v>
      </c>
    </row>
    <row r="70" spans="1:8" ht="15" customHeight="1">
      <c r="A70" s="25"/>
      <c r="B70" s="2"/>
      <c r="C70" s="2"/>
      <c r="D70" s="12"/>
      <c r="E70" s="12"/>
      <c r="F70" s="12"/>
      <c r="G70" s="62"/>
      <c r="H70" s="26"/>
    </row>
    <row r="71" spans="1:8" ht="63.95" customHeight="1">
      <c r="A71" s="34" t="s">
        <v>64</v>
      </c>
      <c r="B71" s="66" t="s">
        <v>9</v>
      </c>
      <c r="C71" s="66" t="s">
        <v>10</v>
      </c>
      <c r="D71" s="67" t="s">
        <v>11</v>
      </c>
      <c r="E71" s="67" t="s">
        <v>52</v>
      </c>
      <c r="F71" s="67" t="s">
        <v>13</v>
      </c>
      <c r="G71" s="56" t="s">
        <v>14</v>
      </c>
      <c r="H71" s="35" t="s">
        <v>15</v>
      </c>
    </row>
    <row r="72" spans="1:8" ht="44.1" customHeight="1">
      <c r="A72" s="23" t="s">
        <v>65</v>
      </c>
      <c r="B72" s="44" t="s">
        <v>66</v>
      </c>
      <c r="C72" s="40"/>
      <c r="D72" s="40"/>
      <c r="E72" s="40"/>
      <c r="F72" s="45"/>
      <c r="G72" s="59"/>
      <c r="H72" s="46"/>
    </row>
    <row r="73" spans="1:8" ht="44.1" customHeight="1">
      <c r="A73" s="25"/>
      <c r="B73" s="44"/>
      <c r="C73" s="44"/>
      <c r="D73" s="40"/>
      <c r="E73" s="40"/>
      <c r="F73" s="45"/>
      <c r="G73" s="60"/>
      <c r="H73" s="47"/>
    </row>
    <row r="74" spans="1:8" ht="44.1" customHeight="1">
      <c r="A74" s="76" t="s">
        <v>67</v>
      </c>
      <c r="B74" s="44"/>
      <c r="C74" s="44"/>
      <c r="D74" s="40"/>
      <c r="E74" s="40"/>
      <c r="F74" s="45"/>
      <c r="G74" s="60"/>
      <c r="H74" s="43"/>
    </row>
    <row r="75" spans="1:8" ht="44.1" customHeight="1">
      <c r="A75" s="94"/>
      <c r="B75" s="44"/>
      <c r="C75" s="44"/>
      <c r="D75" s="40"/>
      <c r="E75" s="40"/>
      <c r="F75" s="45"/>
      <c r="G75" s="60"/>
      <c r="H75" s="43"/>
    </row>
    <row r="76" spans="1:8" ht="44.1" customHeight="1">
      <c r="A76" s="94"/>
      <c r="B76" s="30"/>
      <c r="C76" s="31"/>
      <c r="D76" s="40"/>
      <c r="E76" s="41"/>
      <c r="F76" s="31"/>
      <c r="G76" s="51"/>
      <c r="H76" s="43"/>
    </row>
    <row r="77" spans="1:8" ht="15" customHeight="1">
      <c r="A77" s="25"/>
      <c r="B77" s="77"/>
      <c r="C77" s="90"/>
      <c r="D77" s="90"/>
      <c r="E77" s="90"/>
      <c r="F77" s="90"/>
      <c r="G77" s="61"/>
      <c r="H77" s="24"/>
    </row>
    <row r="78" spans="1:8" ht="15" customHeight="1">
      <c r="A78" s="15"/>
      <c r="B78" s="10"/>
      <c r="D78" s="27"/>
      <c r="E78" s="6"/>
      <c r="F78" s="10"/>
      <c r="G78" s="54"/>
      <c r="H78" s="28"/>
    </row>
    <row r="79" spans="1:8" ht="44.1" customHeight="1">
      <c r="A79" s="72" t="s">
        <v>68</v>
      </c>
      <c r="B79" s="73"/>
      <c r="C79" s="73"/>
      <c r="D79" s="73"/>
      <c r="E79" s="73"/>
      <c r="F79" s="73"/>
      <c r="G79" s="63"/>
      <c r="H79" s="32"/>
    </row>
    <row r="80" spans="1:8" ht="63.95" customHeight="1">
      <c r="A80" s="36"/>
      <c r="B80" s="37" t="s">
        <v>9</v>
      </c>
      <c r="C80" s="37" t="s">
        <v>10</v>
      </c>
      <c r="D80" s="38" t="s">
        <v>11</v>
      </c>
      <c r="E80" s="38"/>
      <c r="F80" s="38" t="s">
        <v>69</v>
      </c>
      <c r="G80" s="64" t="s">
        <v>70</v>
      </c>
      <c r="H80" s="39"/>
    </row>
    <row r="81" spans="1:8" ht="44.1" customHeight="1">
      <c r="A81" s="5"/>
      <c r="B81" s="31" t="s">
        <v>71</v>
      </c>
      <c r="C81" s="31"/>
      <c r="D81" s="40"/>
      <c r="E81" s="41"/>
      <c r="F81" s="30"/>
      <c r="G81" s="51"/>
      <c r="H81" s="42"/>
    </row>
    <row r="82" spans="1:8" ht="44.1" customHeight="1">
      <c r="A82" s="5"/>
      <c r="B82" s="31"/>
      <c r="C82" s="31"/>
      <c r="D82" s="41"/>
      <c r="E82" s="41"/>
      <c r="F82" s="48"/>
      <c r="G82" s="51"/>
      <c r="H82" s="43"/>
    </row>
    <row r="83" spans="1:8" ht="15" customHeight="1">
      <c r="A83" s="95" t="s">
        <v>72</v>
      </c>
      <c r="B83" s="90"/>
      <c r="C83" s="90"/>
      <c r="D83" s="90"/>
      <c r="E83" s="90"/>
      <c r="F83" s="90"/>
      <c r="G83" s="29"/>
      <c r="H83" s="29"/>
    </row>
    <row r="84" spans="1:8" ht="44.1" customHeight="1">
      <c r="A84" s="70" t="s">
        <v>73</v>
      </c>
      <c r="B84" s="68"/>
      <c r="C84" s="68"/>
      <c r="D84" s="68"/>
      <c r="E84" s="68"/>
      <c r="F84" s="68"/>
      <c r="G84" s="68"/>
      <c r="H84" s="68"/>
    </row>
    <row r="85" spans="1:8" ht="44.1" customHeight="1">
      <c r="A85" s="71" t="s">
        <v>74</v>
      </c>
      <c r="B85" s="68"/>
      <c r="C85" s="68"/>
      <c r="D85" s="68"/>
      <c r="E85" s="68"/>
      <c r="F85" s="68"/>
      <c r="G85" s="68"/>
      <c r="H85" s="68"/>
    </row>
    <row r="86" spans="1:8" ht="39.950000000000003" customHeight="1">
      <c r="A86" s="68" t="s">
        <v>75</v>
      </c>
      <c r="B86" s="68"/>
      <c r="C86" s="68"/>
      <c r="D86" s="68"/>
      <c r="E86" s="68"/>
      <c r="F86" s="68"/>
      <c r="G86" s="68"/>
      <c r="H86" s="68"/>
    </row>
    <row r="87" spans="1:8" ht="39.950000000000003" customHeight="1">
      <c r="A87" s="68" t="s">
        <v>76</v>
      </c>
      <c r="B87" s="68"/>
      <c r="C87" s="68"/>
      <c r="D87" s="68"/>
      <c r="E87" s="68"/>
      <c r="F87" s="68"/>
      <c r="G87" s="68"/>
      <c r="H87" s="68"/>
    </row>
    <row r="88" spans="1:8" ht="39.950000000000003" customHeight="1">
      <c r="A88" s="68" t="s">
        <v>77</v>
      </c>
      <c r="B88" s="68"/>
      <c r="C88" s="68"/>
      <c r="D88" s="68"/>
      <c r="E88" s="68"/>
      <c r="F88" s="68"/>
      <c r="G88" s="68"/>
      <c r="H88" s="68"/>
    </row>
  </sheetData>
  <mergeCells count="33">
    <mergeCell ref="A1:H1"/>
    <mergeCell ref="A7:H7"/>
    <mergeCell ref="A12:H12"/>
    <mergeCell ref="B19:F19"/>
    <mergeCell ref="B20:F20"/>
    <mergeCell ref="B21:F21"/>
    <mergeCell ref="B24:F24"/>
    <mergeCell ref="B31:F31"/>
    <mergeCell ref="B32:F32"/>
    <mergeCell ref="B33:F33"/>
    <mergeCell ref="B36:F36"/>
    <mergeCell ref="B42:F42"/>
    <mergeCell ref="B43:F43"/>
    <mergeCell ref="B44:F44"/>
    <mergeCell ref="B47:F47"/>
    <mergeCell ref="B53:F53"/>
    <mergeCell ref="B54:F54"/>
    <mergeCell ref="B55:F55"/>
    <mergeCell ref="B58:F58"/>
    <mergeCell ref="A60:H60"/>
    <mergeCell ref="A86:H86"/>
    <mergeCell ref="A87:H87"/>
    <mergeCell ref="A88:H88"/>
    <mergeCell ref="A61:H61"/>
    <mergeCell ref="A84:H84"/>
    <mergeCell ref="A85:H85"/>
    <mergeCell ref="A62:H62"/>
    <mergeCell ref="A66:A68"/>
    <mergeCell ref="B69:F69"/>
    <mergeCell ref="A74:A76"/>
    <mergeCell ref="B77:F77"/>
    <mergeCell ref="A79:F79"/>
    <mergeCell ref="A83:F83"/>
  </mergeCells>
  <conditionalFormatting sqref="G24 G36 G47 G58">
    <cfRule type="cellIs" dxfId="0" priority="1" operator="lessThan">
      <formula>0</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Zander Boward (Student)</cp:lastModifiedBy>
  <cp:revision/>
  <dcterms:created xsi:type="dcterms:W3CDTF">2026-10-18T03:11:20Z</dcterms:created>
  <dcterms:modified xsi:type="dcterms:W3CDTF">2026-10-18T04:07:48Z</dcterms:modified>
  <cp:category/>
  <cp:contentStatus/>
</cp:coreProperties>
</file>